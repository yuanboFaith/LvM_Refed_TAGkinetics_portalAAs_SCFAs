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vM_Refed_TAGkinetics_portalAAs_SCFAs/"/>
    </mc:Choice>
  </mc:AlternateContent>
  <xr:revisionPtr revIDLastSave="0" documentId="13_ncr:1_{5B796E61-BE9D-D747-922D-6084BB5E27DE}" xr6:coauthVersionLast="47" xr6:coauthVersionMax="47" xr10:uidLastSave="{00000000-0000-0000-0000-000000000000}"/>
  <bookViews>
    <workbookView xWindow="0" yWindow="0" windowWidth="38400" windowHeight="21600" activeTab="1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7" l="1"/>
  <c r="A15" i="37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/>
  <c r="A94" i="37" s="1"/>
  <c r="A95" i="37" s="1"/>
  <c r="A96" i="37" s="1"/>
  <c r="A97" i="37" s="1"/>
  <c r="A98" i="37" s="1"/>
  <c r="A99" i="37" s="1"/>
  <c r="A100" i="37" s="1"/>
  <c r="A101" i="37"/>
  <c r="A102" i="37" s="1"/>
  <c r="A103" i="37" s="1"/>
  <c r="A11" i="37"/>
  <c r="A12" i="37"/>
  <c r="A13" i="37"/>
  <c r="A3" i="37"/>
  <c r="A4" i="37" s="1"/>
  <c r="A5" i="37" s="1"/>
  <c r="A6" i="37" s="1"/>
  <c r="A7" i="37" s="1"/>
  <c r="A8" i="37" s="1"/>
  <c r="A9" i="37" s="1"/>
  <c r="A10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tc={DC8059F3-651E-9246-8905-854555682E71}</author>
  </authors>
  <commentList>
    <comment ref="D9" authorId="0" shapeId="0" xr:uid="{DC8059F3-651E-9246-8905-854555682E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suffix b, c, ...should match exactly the mice in AA tracing experiment, where there is full set of potal blood-systemic blood-liver tissue data. E.g., mouse id a does not have portal blood, and shoud not be included in network. </t>
      </text>
    </comment>
  </commentList>
</comments>
</file>

<file path=xl/sharedStrings.xml><?xml version="1.0" encoding="utf-8"?>
<sst xmlns="http://schemas.openxmlformats.org/spreadsheetml/2006/main" count="326" uniqueCount="212">
  <si>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</si>
  <si>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</si>
  <si>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</si>
  <si>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</si>
  <si>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</si>
  <si>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</si>
  <si>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</si>
  <si>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</si>
  <si>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</si>
  <si>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</si>
  <si>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</si>
  <si>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</si>
  <si>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</si>
  <si>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</si>
  <si>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</si>
  <si>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</si>
  <si>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</si>
  <si>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</si>
  <si>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</si>
  <si>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</si>
  <si>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</si>
  <si>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</si>
  <si>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</si>
  <si>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</si>
  <si>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</si>
  <si>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</si>
  <si>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</si>
  <si>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</si>
  <si>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</si>
  <si>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</si>
  <si>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</si>
  <si>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</si>
  <si>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</si>
  <si>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</si>
  <si>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</si>
  <si>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</si>
  <si>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</si>
  <si>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</si>
  <si>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</si>
  <si>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</si>
  <si>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</si>
  <si>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</si>
  <si>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</si>
  <si>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</si>
  <si>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</si>
  <si>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</si>
  <si>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</si>
  <si>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</si>
  <si>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</si>
  <si>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</si>
  <si>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</si>
  <si>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</si>
  <si>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</si>
  <si>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</si>
  <si>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</si>
  <si>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</si>
  <si>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</si>
  <si>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</si>
  <si>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</si>
  <si>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</si>
  <si>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r>
      <t>13C</t>
    </r>
    <r>
      <rPr>
        <sz val="12"/>
        <color theme="1"/>
        <rFont val="Aptos Narrow"/>
        <scheme val="minor"/>
      </rPr>
      <t>Glycerol -&gt; Glycerol.Blood</t>
    </r>
  </si>
  <si>
    <r>
      <t>13C</t>
    </r>
    <r>
      <rPr>
        <sz val="12"/>
        <color theme="1"/>
        <rFont val="Aptos Narrow"/>
        <scheme val="minor"/>
      </rPr>
      <t>Lac -&gt; Lac.Blood</t>
    </r>
  </si>
  <si>
    <r>
      <t>13C</t>
    </r>
    <r>
      <rPr>
        <sz val="12"/>
        <color theme="1"/>
        <rFont val="Aptos Narrow"/>
        <scheme val="minor"/>
      </rPr>
      <t>Ala -&gt; Ala.Blood</t>
    </r>
  </si>
  <si>
    <r>
      <t>13C</t>
    </r>
    <r>
      <rPr>
        <sz val="12"/>
        <color theme="1"/>
        <rFont val="Aptos Narrow"/>
        <scheme val="minor"/>
      </rPr>
      <t>Gln -&gt; Gln.Blood</t>
    </r>
  </si>
  <si>
    <t>Glycogen.Lv -&gt; Glc.Lv</t>
  </si>
  <si>
    <t>TAG-FA cycle</t>
  </si>
  <si>
    <t>TAG.W -&gt; Lino.Blood</t>
  </si>
  <si>
    <t>Lino.Blood -&gt; sink</t>
  </si>
  <si>
    <t>Lino.Blood -&gt; AcCoA.Lv</t>
  </si>
  <si>
    <t>Lino.Blood -&gt; AcCoA.M</t>
  </si>
  <si>
    <t>srcAcCoA -&gt; AcCoA.M</t>
  </si>
  <si>
    <r>
      <t>13C</t>
    </r>
    <r>
      <rPr>
        <sz val="12"/>
        <color theme="1"/>
        <rFont val="Aptos Narrow (Body)"/>
      </rPr>
      <t>Lino -&gt; Lino.Blood</t>
    </r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</si>
  <si>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</si>
  <si>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</si>
  <si>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</si>
  <si>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</si>
  <si>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</si>
  <si>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</si>
  <si>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</si>
  <si>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</si>
  <si>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</si>
  <si>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</si>
  <si>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</si>
  <si>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</si>
  <si>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</si>
  <si>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</si>
  <si>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</si>
  <si>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</si>
  <si>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</si>
  <si>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</si>
  <si>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</si>
  <si>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</si>
  <si>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</si>
  <si>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</si>
  <si>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</si>
  <si>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</si>
  <si>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</si>
  <si>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</si>
  <si>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</si>
  <si>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</si>
  <si>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</si>
  <si>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</si>
  <si>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</si>
  <si>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</si>
  <si>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</si>
  <si>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</si>
  <si>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</si>
  <si>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</si>
  <si>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</si>
  <si>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</si>
  <si>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</si>
  <si>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</si>
  <si>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</si>
  <si>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</si>
  <si>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</si>
  <si>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</si>
  <si>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</si>
  <si>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</si>
  <si>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</si>
  <si>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</si>
  <si>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</si>
  <si>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</si>
  <si>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</si>
  <si>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</si>
  <si>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</si>
  <si>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</si>
  <si>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</si>
  <si>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</si>
  <si>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</si>
  <si>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</si>
  <si>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</si>
  <si>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</si>
  <si>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</si>
  <si>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</si>
  <si>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</si>
  <si>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</si>
  <si>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</si>
  <si>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</si>
  <si>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r>
      <t>13C</t>
    </r>
    <r>
      <rPr>
        <sz val="12"/>
        <color theme="1"/>
        <rFont val="Aptos Narrow"/>
        <scheme val="minor"/>
      </rPr>
      <t xml:space="preserve">HB </t>
    </r>
    <r>
      <rPr>
        <sz val="12"/>
        <color theme="1"/>
        <rFont val="Aptos Narrow (Body)"/>
      </rPr>
      <t>-&gt; HB.Blood</t>
    </r>
  </si>
  <si>
    <r>
      <rPr>
        <b/>
        <sz val="12"/>
        <color rgb="FFFF0000"/>
        <rFont val="Aptos Narrow (Body)"/>
      </rPr>
      <t>13C</t>
    </r>
    <r>
      <rPr>
        <sz val="12"/>
        <color theme="1"/>
        <rFont val="Aptos Narrow"/>
        <family val="2"/>
        <scheme val="minor"/>
      </rPr>
      <t xml:space="preserve">Glc -&gt; </t>
    </r>
    <r>
      <rPr>
        <sz val="12"/>
        <color theme="1"/>
        <rFont val="Aptos Narrow (Body)"/>
      </rPr>
      <t>Glc.Blood</t>
    </r>
  </si>
  <si>
    <t>Portal AAs</t>
  </si>
  <si>
    <t>Asp.hp -&gt; OAA.Lv</t>
  </si>
  <si>
    <t>Tyr.hp -&gt; Mal.Lv</t>
  </si>
  <si>
    <t>Phe.hp -&gt; Mal.Lv</t>
  </si>
  <si>
    <t>Asp.hp -&gt; Mal.Lv</t>
  </si>
  <si>
    <t>Val.hp -&gt; Suc.Lv</t>
  </si>
  <si>
    <t>Gln.hp -&gt; aKG.Lv</t>
  </si>
  <si>
    <t>Glu.hp -&gt; aKG.Lv</t>
  </si>
  <si>
    <t>Arg.hp-&gt; aKG.Lv</t>
  </si>
  <si>
    <t>Tyr.hp -&gt; AcCoA.Lv</t>
  </si>
  <si>
    <t>Phe.hp -&gt; AcCoA.Lv</t>
  </si>
  <si>
    <t>Thr.hp -&gt; AcCoA.Lv</t>
  </si>
  <si>
    <t>Lys.hp -&gt; AcCoA.Lv</t>
  </si>
  <si>
    <t>Leu.hp -&gt; AcCoA.Lv</t>
  </si>
  <si>
    <r>
      <t>Thr.hp -&gt;</t>
    </r>
    <r>
      <rPr>
        <sz val="12"/>
        <color rgb="FF00B050"/>
        <rFont val="Aptos Narrow (Body)"/>
      </rPr>
      <t xml:space="preserve"> Pyr.Lvm</t>
    </r>
  </si>
  <si>
    <r>
      <t>Ser.hp -&gt;</t>
    </r>
    <r>
      <rPr>
        <sz val="12"/>
        <color rgb="FF00B050"/>
        <rFont val="Aptos Narrow (Body)"/>
      </rPr>
      <t xml:space="preserve"> Pyr.Lvm</t>
    </r>
  </si>
  <si>
    <r>
      <t>Ala.hp -&gt;</t>
    </r>
    <r>
      <rPr>
        <sz val="12"/>
        <color rgb="FF00B050"/>
        <rFont val="Aptos Narrow (Body)"/>
      </rPr>
      <t xml:space="preserve"> Pyr.Lvm</t>
    </r>
  </si>
  <si>
    <r>
      <t>13ChpAA</t>
    </r>
    <r>
      <rPr>
        <b/>
        <sz val="12"/>
        <color rgb="FF00B050"/>
        <rFont val="Aptos Narrow (Body)"/>
      </rPr>
      <t>b</t>
    </r>
  </si>
  <si>
    <r>
      <t>13ChpAA</t>
    </r>
    <r>
      <rPr>
        <b/>
        <sz val="12"/>
        <color rgb="FF00B050"/>
        <rFont val="Aptos Narrow (Body)"/>
      </rPr>
      <t>c</t>
    </r>
  </si>
  <si>
    <r>
      <t>13ChpAA</t>
    </r>
    <r>
      <rPr>
        <b/>
        <sz val="12"/>
        <color rgb="FF00B050"/>
        <rFont val="Aptos Narrow (Body)"/>
      </rPr>
      <t>d</t>
    </r>
  </si>
  <si>
    <t>Trp.hp -&gt; AcCoA.Lv</t>
  </si>
  <si>
    <r>
      <t>Trp.hp -&gt;</t>
    </r>
    <r>
      <rPr>
        <sz val="12"/>
        <color rgb="FF00B050"/>
        <rFont val="Aptos Narrow (Body)"/>
      </rPr>
      <t xml:space="preserve"> Pyr.Lvm</t>
    </r>
  </si>
  <si>
    <t>Ile.hp -&gt; AcCoA.Lv</t>
  </si>
  <si>
    <t>Ile.hp -&gt; Suc.Lv</t>
  </si>
  <si>
    <r>
      <t>13ChpAA</t>
    </r>
    <r>
      <rPr>
        <b/>
        <sz val="12"/>
        <color rgb="FF00B050"/>
        <rFont val="Aptos Narrow (Body)"/>
      </rPr>
      <t>e</t>
    </r>
  </si>
  <si>
    <r>
      <t>13ChpAA</t>
    </r>
    <r>
      <rPr>
        <b/>
        <sz val="12"/>
        <color rgb="FF00B050"/>
        <rFont val="Aptos Narrow (Body)"/>
      </rPr>
      <t>f</t>
    </r>
  </si>
  <si>
    <r>
      <t>13ChpAA</t>
    </r>
    <r>
      <rPr>
        <b/>
        <sz val="12"/>
        <color rgb="FF00B050"/>
        <rFont val="Aptos Narrow (Body)"/>
      </rPr>
      <t>j</t>
    </r>
  </si>
  <si>
    <r>
      <t>13ChpAA</t>
    </r>
    <r>
      <rPr>
        <b/>
        <sz val="12"/>
        <color rgb="FF00B050"/>
        <rFont val="Aptos Narrow (Body)"/>
      </rPr>
      <t>k</t>
    </r>
  </si>
  <si>
    <r>
      <t>13ChpAA</t>
    </r>
    <r>
      <rPr>
        <b/>
        <sz val="12"/>
        <color rgb="FF00B050"/>
        <rFont val="Aptos Narrow (Body)"/>
      </rPr>
      <t>l</t>
    </r>
  </si>
  <si>
    <t>SCFA</t>
  </si>
  <si>
    <t>Acetate.hp -&gt; AcCoA.Lv</t>
  </si>
  <si>
    <r>
      <t>13ChpSCFA</t>
    </r>
    <r>
      <rPr>
        <b/>
        <sz val="12"/>
        <color rgb="FF7030A0"/>
        <rFont val="Aptos Narrow (Body)"/>
      </rPr>
      <t>a</t>
    </r>
  </si>
  <si>
    <r>
      <t>13ChpSCFA</t>
    </r>
    <r>
      <rPr>
        <b/>
        <sz val="12"/>
        <color rgb="FF7030A0"/>
        <rFont val="Aptos Narrow (Body)"/>
      </rPr>
      <t>b</t>
    </r>
  </si>
  <si>
    <r>
      <t>13ChpSCFA</t>
    </r>
    <r>
      <rPr>
        <b/>
        <sz val="12"/>
        <color rgb="FF7030A0"/>
        <rFont val="Aptos Narrow (Body)"/>
      </rPr>
      <t>c</t>
    </r>
  </si>
  <si>
    <r>
      <t>13ChpSCFA</t>
    </r>
    <r>
      <rPr>
        <b/>
        <sz val="12"/>
        <color rgb="FF7030A0"/>
        <rFont val="Aptos Narrow (Body)"/>
      </rPr>
      <t>d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</si>
  <si>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a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</si>
  <si>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</si>
  <si>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</si>
  <si>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</si>
  <si>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 xml:space="preserve">Propionate.hp </t>
    </r>
    <r>
      <rPr>
        <sz val="12"/>
        <color rgb="FF00B0F0"/>
        <rFont val="Aptos Narrow (Body)"/>
      </rPr>
      <t xml:space="preserve">+ CO2.Blood </t>
    </r>
    <r>
      <rPr>
        <sz val="12"/>
        <color theme="1"/>
        <rFont val="Aptos Narrow"/>
        <scheme val="minor"/>
      </rPr>
      <t>-&gt; Suc.Lv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</si>
  <si>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</si>
  <si>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</si>
  <si>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</si>
  <si>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e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</si>
  <si>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f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</si>
  <si>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j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</si>
  <si>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k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</si>
  <si>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l</t>
    </r>
    <r>
      <rPr>
        <sz val="12"/>
        <color theme="1"/>
        <rFont val="Aptos Narrow (Body)"/>
      </rPr>
      <t xml:space="preserve"> -&gt; AcCoA.Lv</t>
    </r>
  </si>
  <si>
    <t>Butyrate.hp -&gt; AcCoA.Lv</t>
  </si>
  <si>
    <t>Butyrate.hp -&gt; AACoA.Lv (abcd -&gt; abcd) is a more direct path. Here we use the equivalent Butyrate-&gt;Acetyl-CoA to simplify this procedure, and this is in particularly convenient to calculate the confidence interval of the summation contribution to acetyl-CoA from acetate and butyrate</t>
  </si>
  <si>
    <r>
      <t>13CLinoKin</t>
    </r>
    <r>
      <rPr>
        <b/>
        <sz val="12"/>
        <color rgb="FF00B0F0"/>
        <rFont val="Aptos Narrow (Body)"/>
      </rPr>
      <t>A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</si>
  <si>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A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</si>
  <si>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</si>
  <si>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</si>
  <si>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</si>
  <si>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E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</si>
  <si>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F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</si>
  <si>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G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</si>
  <si>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H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</si>
  <si>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I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</si>
  <si>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J</t>
    </r>
    <r>
      <rPr>
        <sz val="12"/>
        <color theme="1"/>
        <rFont val="Aptos Narrow (Body)"/>
      </rPr>
      <t xml:space="preserve"> -&gt; AcCoA.Lv</t>
    </r>
  </si>
  <si>
    <r>
      <t>13CLinoKin</t>
    </r>
    <r>
      <rPr>
        <b/>
        <sz val="12"/>
        <color rgb="FF00B0F0"/>
        <rFont val="Aptos Narrow (Body)"/>
      </rPr>
      <t>B</t>
    </r>
  </si>
  <si>
    <r>
      <t>13CLinoKin</t>
    </r>
    <r>
      <rPr>
        <b/>
        <sz val="12"/>
        <color rgb="FF00B0F0"/>
        <rFont val="Aptos Narrow (Body)"/>
      </rPr>
      <t>C</t>
    </r>
  </si>
  <si>
    <r>
      <t>13CLinoKin</t>
    </r>
    <r>
      <rPr>
        <b/>
        <sz val="12"/>
        <color rgb="FF00B0F0"/>
        <rFont val="Aptos Narrow (Body)"/>
      </rPr>
      <t>D</t>
    </r>
  </si>
  <si>
    <r>
      <t>13CLinoKin</t>
    </r>
    <r>
      <rPr>
        <b/>
        <sz val="12"/>
        <color rgb="FF00B0F0"/>
        <rFont val="Aptos Narrow (Body)"/>
      </rPr>
      <t>E</t>
    </r>
  </si>
  <si>
    <r>
      <t>13CLinoKin</t>
    </r>
    <r>
      <rPr>
        <b/>
        <sz val="12"/>
        <color rgb="FF00B0F0"/>
        <rFont val="Aptos Narrow (Body)"/>
      </rPr>
      <t>F</t>
    </r>
  </si>
  <si>
    <r>
      <t>13CLinoKin</t>
    </r>
    <r>
      <rPr>
        <b/>
        <sz val="12"/>
        <color rgb="FF00B0F0"/>
        <rFont val="Aptos Narrow (Body)"/>
      </rPr>
      <t>G</t>
    </r>
  </si>
  <si>
    <r>
      <t>13CLinoKin</t>
    </r>
    <r>
      <rPr>
        <b/>
        <sz val="12"/>
        <color rgb="FF00B0F0"/>
        <rFont val="Aptos Narrow (Body)"/>
      </rPr>
      <t>H</t>
    </r>
  </si>
  <si>
    <r>
      <t>13CLinoKin</t>
    </r>
    <r>
      <rPr>
        <b/>
        <sz val="12"/>
        <color rgb="FF00B0F0"/>
        <rFont val="Aptos Narrow (Body)"/>
      </rPr>
      <t>I</t>
    </r>
  </si>
  <si>
    <r>
      <t>13CLinoKin</t>
    </r>
    <r>
      <rPr>
        <b/>
        <sz val="12"/>
        <color rgb="FF00B0F0"/>
        <rFont val="Aptos Narrow (Body)"/>
      </rPr>
      <t>J</t>
    </r>
  </si>
  <si>
    <t>TAGLino.Lv -&gt; AcCoA.Lv</t>
  </si>
  <si>
    <t>TAGLino is treatd as a "substrate", and Lino.Blood-&gt;TAGLino should not be included in the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</si>
</sst>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b/>
      <sz val="12"/>
      <color rgb="FF00B050"/>
      <name val="Aptos Narrow (Body)"/>
    </font>
    <font>
      <b/>
      <sz val="12"/>
      <color rgb="FF7030A0"/>
      <name val="Aptos Narrow (Body)"/>
    </font>
    <font>
      <sz val="11"/>
      <color theme="1"/>
      <name val="Aptos Narrow"/>
      <scheme val="minor"/>
    </font>
    <font>
      <b/>
      <sz val="12"/>
      <color rgb="FF00B0F0"/>
      <name val="Aptos Narrow (Body)"/>
    </font>
    <font>
      <sz val="12"/>
      <color theme="1" tint="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7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6" fillId="4" borderId="8" xfId="0" applyFont="1" applyFill="1" applyBorder="1" applyAlignment="1">
      <alignment horizontal="left" wrapText="1"/>
    </xf>
    <xf numFmtId="0" fontId="16" fillId="4" borderId="0" xfId="0" applyFont="1" applyFill="1" applyAlignment="1">
      <alignment horizontal="left" wrapText="1"/>
    </xf>
    <xf numFmtId="0" fontId="0" fillId="4" borderId="1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2" fillId="5" borderId="8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" dT="2026-02-28T19:07:03.69" personId="{4BBF70E9-EE5C-0E41-92FA-C1A90F3DFBFC}" id="{DC8059F3-651E-9246-8905-854555682E71}">
    <text xml:space="preserve">the suffix b, c, ...should match exactly the mice in AA tracing experiment, where there is full set of potal blood-systemic blood-liver tissue data. E.g., mouse id a does not have portal blood, and shoud not be included in network.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J103"/>
  <sheetViews>
    <sheetView topLeftCell="A2" zoomScale="163" zoomScaleNormal="244" workbookViewId="0">
      <selection activeCell="B14" sqref="B14"/>
    </sheetView>
  </sheetViews>
  <sheetFormatPr baseColWidth="10" defaultColWidth="11" defaultRowHeight="16" x14ac:dyDescent="0.2"/>
  <cols>
    <col min="1" max="1" width="7.5" bestFit="1" customWidth="1"/>
    <col min="2" max="2" width="30.6640625" bestFit="1" customWidth="1"/>
    <col min="3" max="3" width="21.83203125" bestFit="1" customWidth="1"/>
    <col min="4" max="4" width="18.5" bestFit="1" customWidth="1"/>
    <col min="5" max="5" width="22.6640625" bestFit="1" customWidth="1"/>
  </cols>
  <sheetData>
    <row r="1" spans="1:5" ht="17" thickBot="1" x14ac:dyDescent="0.25">
      <c r="A1" s="22" t="s">
        <v>0</v>
      </c>
      <c r="B1" s="9" t="s">
        <v>1</v>
      </c>
      <c r="C1" s="9" t="s">
        <v>2</v>
      </c>
      <c r="D1" s="33" t="s">
        <v>12</v>
      </c>
      <c r="E1" s="44" t="s">
        <v>134</v>
      </c>
    </row>
    <row r="2" spans="1:5" x14ac:dyDescent="0.2">
      <c r="A2" s="23">
        <v>1</v>
      </c>
      <c r="B2" s="2" t="s">
        <v>42</v>
      </c>
      <c r="C2" s="15" t="s">
        <v>3</v>
      </c>
      <c r="D2" s="29" t="s">
        <v>65</v>
      </c>
      <c r="E2" s="6"/>
    </row>
    <row r="3" spans="1:5" ht="17" thickBot="1" x14ac:dyDescent="0.25">
      <c r="A3" s="24">
        <f>A2+1</f>
        <v>2</v>
      </c>
      <c r="B3" s="4" t="s">
        <v>25</v>
      </c>
      <c r="C3" s="16" t="s">
        <v>3</v>
      </c>
      <c r="D3" s="30"/>
      <c r="E3" s="6"/>
    </row>
    <row r="4" spans="1:5" x14ac:dyDescent="0.2">
      <c r="A4" s="24">
        <f t="shared" ref="A4:A68" si="0">A3+1</f>
        <v>3</v>
      </c>
      <c r="B4" s="3" t="s">
        <v>66</v>
      </c>
      <c r="C4" s="3" t="s">
        <v>16</v>
      </c>
      <c r="D4" s="30"/>
      <c r="E4" s="6"/>
    </row>
    <row r="5" spans="1:5" ht="17" thickBot="1" x14ac:dyDescent="0.25">
      <c r="A5" s="24">
        <f t="shared" si="0"/>
        <v>4</v>
      </c>
      <c r="B5" s="3" t="s">
        <v>67</v>
      </c>
      <c r="C5" s="3" t="s">
        <v>16</v>
      </c>
      <c r="D5" s="31"/>
      <c r="E5" s="6"/>
    </row>
    <row r="6" spans="1:5" x14ac:dyDescent="0.2">
      <c r="A6" s="24">
        <f t="shared" si="0"/>
        <v>5</v>
      </c>
      <c r="B6" s="12" t="s">
        <v>111</v>
      </c>
      <c r="C6" s="15" t="s">
        <v>3</v>
      </c>
      <c r="D6" s="56" t="s">
        <v>50</v>
      </c>
      <c r="E6" s="6"/>
    </row>
    <row r="7" spans="1:5" x14ac:dyDescent="0.2">
      <c r="A7" s="24">
        <f t="shared" si="0"/>
        <v>6</v>
      </c>
      <c r="B7" s="14" t="s">
        <v>116</v>
      </c>
      <c r="C7" s="20" t="s">
        <v>3</v>
      </c>
      <c r="D7" s="57"/>
      <c r="E7" s="6"/>
    </row>
    <row r="8" spans="1:5" x14ac:dyDescent="0.2">
      <c r="A8" s="24">
        <f t="shared" si="0"/>
        <v>7</v>
      </c>
      <c r="B8" s="14" t="s">
        <v>112</v>
      </c>
      <c r="C8" s="20" t="s">
        <v>3</v>
      </c>
      <c r="D8" s="57"/>
      <c r="E8" s="6"/>
    </row>
    <row r="9" spans="1:5" x14ac:dyDescent="0.2">
      <c r="A9" s="24">
        <f t="shared" si="0"/>
        <v>8</v>
      </c>
      <c r="B9" s="14" t="s">
        <v>113</v>
      </c>
      <c r="C9" s="20" t="s">
        <v>4</v>
      </c>
      <c r="D9" s="57"/>
      <c r="E9" s="45" t="s">
        <v>128</v>
      </c>
    </row>
    <row r="10" spans="1:5" x14ac:dyDescent="0.2">
      <c r="A10" s="24">
        <f t="shared" si="0"/>
        <v>9</v>
      </c>
      <c r="B10" s="14" t="s">
        <v>49</v>
      </c>
      <c r="C10" s="20" t="s">
        <v>16</v>
      </c>
      <c r="D10" s="57"/>
      <c r="E10" s="6" t="s">
        <v>135</v>
      </c>
    </row>
    <row r="11" spans="1:5" x14ac:dyDescent="0.2">
      <c r="A11" s="24">
        <f t="shared" si="0"/>
        <v>10</v>
      </c>
      <c r="B11" s="14" t="s">
        <v>68</v>
      </c>
      <c r="C11" s="20" t="s">
        <v>16</v>
      </c>
      <c r="D11" s="57"/>
      <c r="E11" s="6" t="s">
        <v>136</v>
      </c>
    </row>
    <row r="12" spans="1:5" x14ac:dyDescent="0.2">
      <c r="A12" s="24">
        <f t="shared" si="0"/>
        <v>11</v>
      </c>
      <c r="B12" s="67" t="s">
        <v>210</v>
      </c>
      <c r="C12" s="68" t="s">
        <v>16</v>
      </c>
      <c r="D12" s="57"/>
      <c r="E12" s="69" t="s">
        <v>211</v>
      </c>
    </row>
    <row r="13" spans="1:5" x14ac:dyDescent="0.2">
      <c r="A13" s="24">
        <f t="shared" si="0"/>
        <v>12</v>
      </c>
      <c r="B13" s="14" t="s">
        <v>33</v>
      </c>
      <c r="C13" s="20" t="s">
        <v>5</v>
      </c>
      <c r="D13" s="57"/>
      <c r="E13" s="45" t="s">
        <v>129</v>
      </c>
    </row>
    <row r="14" spans="1:5" x14ac:dyDescent="0.2">
      <c r="A14" s="24">
        <f t="shared" si="0"/>
        <v>13</v>
      </c>
      <c r="B14" s="14" t="s">
        <v>96</v>
      </c>
      <c r="C14" s="20" t="s">
        <v>6</v>
      </c>
      <c r="D14" s="57"/>
      <c r="E14" s="6"/>
    </row>
    <row r="15" spans="1:5" x14ac:dyDescent="0.2">
      <c r="A15" s="24">
        <f t="shared" si="0"/>
        <v>14</v>
      </c>
      <c r="B15" s="14" t="s">
        <v>97</v>
      </c>
      <c r="C15" s="20" t="s">
        <v>8</v>
      </c>
      <c r="D15" s="57"/>
      <c r="E15" s="6"/>
    </row>
    <row r="16" spans="1:5" x14ac:dyDescent="0.2">
      <c r="A16" s="24">
        <f t="shared" si="0"/>
        <v>15</v>
      </c>
      <c r="B16" s="14" t="s">
        <v>45</v>
      </c>
      <c r="C16" s="20" t="s">
        <v>9</v>
      </c>
      <c r="D16" s="57"/>
      <c r="E16" s="6"/>
    </row>
    <row r="17" spans="1:5" x14ac:dyDescent="0.2">
      <c r="A17" s="24">
        <f t="shared" si="0"/>
        <v>16</v>
      </c>
      <c r="B17" s="14" t="s">
        <v>46</v>
      </c>
      <c r="C17" s="20" t="s">
        <v>9</v>
      </c>
      <c r="D17" s="57"/>
      <c r="E17" s="6"/>
    </row>
    <row r="18" spans="1:5" x14ac:dyDescent="0.2">
      <c r="A18" s="24">
        <f t="shared" si="0"/>
        <v>17</v>
      </c>
      <c r="B18" s="14" t="s">
        <v>47</v>
      </c>
      <c r="C18" s="20" t="s">
        <v>9</v>
      </c>
      <c r="D18" s="57"/>
      <c r="E18" s="6"/>
    </row>
    <row r="19" spans="1:5" x14ac:dyDescent="0.2">
      <c r="A19" s="24">
        <f t="shared" si="0"/>
        <v>18</v>
      </c>
      <c r="B19" s="14" t="s">
        <v>48</v>
      </c>
      <c r="C19" s="20" t="s">
        <v>9</v>
      </c>
      <c r="D19" s="57"/>
      <c r="E19" s="6"/>
    </row>
    <row r="20" spans="1:5" ht="17" thickBot="1" x14ac:dyDescent="0.25">
      <c r="A20" s="24">
        <f t="shared" si="0"/>
        <v>19</v>
      </c>
      <c r="B20" s="35" t="s">
        <v>115</v>
      </c>
      <c r="C20" s="36" t="s">
        <v>73</v>
      </c>
      <c r="D20" s="58"/>
      <c r="E20" s="45" t="s">
        <v>130</v>
      </c>
    </row>
    <row r="21" spans="1:5" ht="17" x14ac:dyDescent="0.2">
      <c r="A21" s="24">
        <f t="shared" si="0"/>
        <v>20</v>
      </c>
      <c r="B21" s="5" t="s">
        <v>114</v>
      </c>
      <c r="C21" s="3" t="s">
        <v>13</v>
      </c>
      <c r="D21" s="59" t="s">
        <v>108</v>
      </c>
      <c r="E21" s="45" t="s">
        <v>131</v>
      </c>
    </row>
    <row r="22" spans="1:5" ht="17" x14ac:dyDescent="0.2">
      <c r="A22" s="24">
        <f t="shared" si="0"/>
        <v>21</v>
      </c>
      <c r="B22" s="5" t="s">
        <v>98</v>
      </c>
      <c r="C22" s="3" t="s">
        <v>11</v>
      </c>
      <c r="D22" s="60"/>
      <c r="E22" s="45" t="s">
        <v>133</v>
      </c>
    </row>
    <row r="23" spans="1:5" x14ac:dyDescent="0.2">
      <c r="A23" s="24">
        <f t="shared" si="0"/>
        <v>22</v>
      </c>
      <c r="B23" s="3" t="s">
        <v>35</v>
      </c>
      <c r="C23" s="3" t="s">
        <v>3</v>
      </c>
      <c r="D23" s="60"/>
      <c r="E23" s="6"/>
    </row>
    <row r="24" spans="1:5" x14ac:dyDescent="0.2">
      <c r="A24" s="24">
        <f t="shared" si="0"/>
        <v>23</v>
      </c>
      <c r="B24" s="3" t="s">
        <v>137</v>
      </c>
      <c r="C24" s="3" t="s">
        <v>3</v>
      </c>
      <c r="D24" s="60"/>
      <c r="E24" s="6"/>
    </row>
    <row r="25" spans="1:5" x14ac:dyDescent="0.2">
      <c r="A25" s="24">
        <f t="shared" si="0"/>
        <v>24</v>
      </c>
      <c r="B25" s="3" t="s">
        <v>36</v>
      </c>
      <c r="C25" s="3" t="s">
        <v>3</v>
      </c>
      <c r="D25" s="60"/>
      <c r="E25" s="6"/>
    </row>
    <row r="26" spans="1:5" x14ac:dyDescent="0.2">
      <c r="A26" s="24">
        <f t="shared" si="0"/>
        <v>25</v>
      </c>
      <c r="B26" s="3" t="s">
        <v>38</v>
      </c>
      <c r="C26" s="3" t="s">
        <v>3</v>
      </c>
      <c r="D26" s="60"/>
      <c r="E26" s="6"/>
    </row>
    <row r="27" spans="1:5" x14ac:dyDescent="0.2">
      <c r="A27" s="24">
        <f t="shared" si="0"/>
        <v>26</v>
      </c>
      <c r="B27" s="3" t="s">
        <v>37</v>
      </c>
      <c r="C27" s="3" t="s">
        <v>3</v>
      </c>
      <c r="D27" s="60"/>
      <c r="E27" s="6"/>
    </row>
    <row r="28" spans="1:5" x14ac:dyDescent="0.2">
      <c r="A28" s="24">
        <f t="shared" si="0"/>
        <v>27</v>
      </c>
      <c r="B28" s="3" t="s">
        <v>39</v>
      </c>
      <c r="C28" s="3" t="s">
        <v>14</v>
      </c>
      <c r="D28" s="60"/>
      <c r="E28" s="6"/>
    </row>
    <row r="29" spans="1:5" x14ac:dyDescent="0.2">
      <c r="A29" s="24">
        <f t="shared" si="0"/>
        <v>28</v>
      </c>
      <c r="B29" s="3" t="s">
        <v>64</v>
      </c>
      <c r="C29" s="3" t="s">
        <v>15</v>
      </c>
      <c r="D29" s="60"/>
      <c r="E29" s="6"/>
    </row>
    <row r="30" spans="1:5" ht="17" thickBot="1" x14ac:dyDescent="0.25">
      <c r="A30" s="24">
        <f t="shared" si="0"/>
        <v>29</v>
      </c>
      <c r="B30" s="4" t="s">
        <v>40</v>
      </c>
      <c r="C30" s="4" t="s">
        <v>15</v>
      </c>
      <c r="D30" s="61"/>
      <c r="E30" s="6"/>
    </row>
    <row r="31" spans="1:5" x14ac:dyDescent="0.2">
      <c r="A31" s="24">
        <f t="shared" si="0"/>
        <v>30</v>
      </c>
      <c r="B31" s="12" t="s">
        <v>29</v>
      </c>
      <c r="C31" s="15" t="s">
        <v>15</v>
      </c>
      <c r="D31" s="41" t="s">
        <v>51</v>
      </c>
      <c r="E31" s="6"/>
    </row>
    <row r="32" spans="1:5" x14ac:dyDescent="0.2">
      <c r="A32" s="24">
        <f t="shared" si="0"/>
        <v>31</v>
      </c>
      <c r="B32" s="14" t="s">
        <v>26</v>
      </c>
      <c r="C32" s="20" t="s">
        <v>18</v>
      </c>
      <c r="D32" s="37"/>
      <c r="E32" s="6"/>
    </row>
    <row r="33" spans="1:5" x14ac:dyDescent="0.2">
      <c r="A33" s="24">
        <f t="shared" si="0"/>
        <v>32</v>
      </c>
      <c r="B33" s="14" t="s">
        <v>17</v>
      </c>
      <c r="C33" s="20" t="s">
        <v>3</v>
      </c>
      <c r="D33" s="37"/>
      <c r="E33" s="6"/>
    </row>
    <row r="34" spans="1:5" x14ac:dyDescent="0.2">
      <c r="A34" s="24">
        <f t="shared" si="0"/>
        <v>33</v>
      </c>
      <c r="B34" s="14" t="s">
        <v>102</v>
      </c>
      <c r="C34" s="20" t="s">
        <v>3</v>
      </c>
      <c r="D34" s="37"/>
      <c r="E34" s="6"/>
    </row>
    <row r="35" spans="1:5" x14ac:dyDescent="0.2">
      <c r="A35" s="24">
        <f t="shared" si="0"/>
        <v>34</v>
      </c>
      <c r="B35" s="28" t="s">
        <v>117</v>
      </c>
      <c r="C35" s="20" t="s">
        <v>3</v>
      </c>
      <c r="D35" s="37"/>
      <c r="E35" s="6"/>
    </row>
    <row r="36" spans="1:5" x14ac:dyDescent="0.2">
      <c r="A36" s="24">
        <f t="shared" si="0"/>
        <v>35</v>
      </c>
      <c r="B36" s="14" t="s">
        <v>118</v>
      </c>
      <c r="C36" s="20" t="s">
        <v>3</v>
      </c>
      <c r="D36" s="37"/>
      <c r="E36" s="6"/>
    </row>
    <row r="37" spans="1:5" ht="17" thickBot="1" x14ac:dyDescent="0.25">
      <c r="A37" s="24">
        <f t="shared" si="0"/>
        <v>36</v>
      </c>
      <c r="B37" s="13" t="s">
        <v>119</v>
      </c>
      <c r="C37" s="16" t="s">
        <v>3</v>
      </c>
      <c r="D37" s="40"/>
      <c r="E37" s="6"/>
    </row>
    <row r="38" spans="1:5" x14ac:dyDescent="0.2">
      <c r="A38" s="24">
        <f t="shared" si="0"/>
        <v>37</v>
      </c>
      <c r="B38" s="12" t="s">
        <v>120</v>
      </c>
      <c r="C38" s="15" t="s">
        <v>3</v>
      </c>
      <c r="D38" s="62" t="s">
        <v>104</v>
      </c>
      <c r="E38" s="6"/>
    </row>
    <row r="39" spans="1:5" x14ac:dyDescent="0.2">
      <c r="A39" s="24">
        <f t="shared" si="0"/>
        <v>38</v>
      </c>
      <c r="B39" s="14" t="s">
        <v>122</v>
      </c>
      <c r="C39" s="20" t="s">
        <v>3</v>
      </c>
      <c r="D39" s="63"/>
      <c r="E39" s="6"/>
    </row>
    <row r="40" spans="1:5" ht="17" x14ac:dyDescent="0.2">
      <c r="A40" s="24">
        <f t="shared" si="0"/>
        <v>39</v>
      </c>
      <c r="B40" s="42" t="s">
        <v>126</v>
      </c>
      <c r="C40" s="20" t="s">
        <v>13</v>
      </c>
      <c r="D40" s="63"/>
      <c r="E40" s="6"/>
    </row>
    <row r="41" spans="1:5" x14ac:dyDescent="0.2">
      <c r="A41" s="24">
        <f t="shared" si="0"/>
        <v>40</v>
      </c>
      <c r="B41" s="14" t="s">
        <v>121</v>
      </c>
      <c r="C41" s="20" t="s">
        <v>4</v>
      </c>
      <c r="D41" s="63"/>
      <c r="E41" s="6"/>
    </row>
    <row r="42" spans="1:5" x14ac:dyDescent="0.2">
      <c r="A42" s="24">
        <f t="shared" si="0"/>
        <v>41</v>
      </c>
      <c r="B42" s="14" t="s">
        <v>70</v>
      </c>
      <c r="C42" s="20" t="s">
        <v>16</v>
      </c>
      <c r="D42" s="63"/>
      <c r="E42" s="6"/>
    </row>
    <row r="43" spans="1:5" x14ac:dyDescent="0.2">
      <c r="A43" s="24">
        <f t="shared" si="0"/>
        <v>42</v>
      </c>
      <c r="B43" s="14" t="s">
        <v>69</v>
      </c>
      <c r="C43" s="20" t="s">
        <v>16</v>
      </c>
      <c r="D43" s="63"/>
      <c r="E43" s="6"/>
    </row>
    <row r="44" spans="1:5" x14ac:dyDescent="0.2">
      <c r="A44" s="24">
        <f t="shared" si="0"/>
        <v>43</v>
      </c>
      <c r="B44" s="14" t="s">
        <v>43</v>
      </c>
      <c r="C44" s="20" t="s">
        <v>5</v>
      </c>
      <c r="D44" s="63"/>
      <c r="E44" s="6"/>
    </row>
    <row r="45" spans="1:5" x14ac:dyDescent="0.2">
      <c r="A45" s="24">
        <f t="shared" si="0"/>
        <v>44</v>
      </c>
      <c r="B45" s="14" t="s">
        <v>99</v>
      </c>
      <c r="C45" s="20" t="s">
        <v>6</v>
      </c>
      <c r="D45" s="63"/>
      <c r="E45" s="6"/>
    </row>
    <row r="46" spans="1:5" x14ac:dyDescent="0.2">
      <c r="A46" s="24">
        <f t="shared" si="0"/>
        <v>45</v>
      </c>
      <c r="B46" s="14" t="s">
        <v>100</v>
      </c>
      <c r="C46" s="20" t="s">
        <v>8</v>
      </c>
      <c r="D46" s="63"/>
      <c r="E46" s="6"/>
    </row>
    <row r="47" spans="1:5" x14ac:dyDescent="0.2">
      <c r="A47" s="24">
        <f t="shared" si="0"/>
        <v>46</v>
      </c>
      <c r="B47" s="14" t="s">
        <v>53</v>
      </c>
      <c r="C47" s="20" t="s">
        <v>9</v>
      </c>
      <c r="D47" s="63"/>
      <c r="E47" s="6"/>
    </row>
    <row r="48" spans="1:5" x14ac:dyDescent="0.2">
      <c r="A48" s="24">
        <f t="shared" si="0"/>
        <v>47</v>
      </c>
      <c r="B48" s="14" t="s">
        <v>54</v>
      </c>
      <c r="C48" s="20" t="s">
        <v>9</v>
      </c>
      <c r="D48" s="63"/>
      <c r="E48" s="6"/>
    </row>
    <row r="49" spans="1:5" x14ac:dyDescent="0.2">
      <c r="A49" s="24">
        <f t="shared" si="0"/>
        <v>48</v>
      </c>
      <c r="B49" s="14" t="s">
        <v>55</v>
      </c>
      <c r="C49" s="20" t="s">
        <v>9</v>
      </c>
      <c r="D49" s="63"/>
      <c r="E49" s="6"/>
    </row>
    <row r="50" spans="1:5" x14ac:dyDescent="0.2">
      <c r="A50" s="24">
        <f t="shared" si="0"/>
        <v>49</v>
      </c>
      <c r="B50" s="14" t="s">
        <v>56</v>
      </c>
      <c r="C50" s="20" t="s">
        <v>9</v>
      </c>
      <c r="D50" s="63"/>
      <c r="E50" s="6"/>
    </row>
    <row r="51" spans="1:5" ht="17" thickBot="1" x14ac:dyDescent="0.25">
      <c r="A51" s="24">
        <f t="shared" si="0"/>
        <v>50</v>
      </c>
      <c r="B51" s="13" t="s">
        <v>123</v>
      </c>
      <c r="C51" s="16" t="s">
        <v>73</v>
      </c>
      <c r="D51" s="64"/>
      <c r="E51" s="6"/>
    </row>
    <row r="52" spans="1:5" x14ac:dyDescent="0.2">
      <c r="A52" s="24">
        <f t="shared" si="0"/>
        <v>51</v>
      </c>
      <c r="B52" s="14" t="s">
        <v>156</v>
      </c>
      <c r="C52" s="3" t="s">
        <v>3</v>
      </c>
      <c r="D52" s="56" t="s">
        <v>140</v>
      </c>
      <c r="E52" s="6"/>
    </row>
    <row r="53" spans="1:5" x14ac:dyDescent="0.2">
      <c r="A53" s="24">
        <f t="shared" si="0"/>
        <v>52</v>
      </c>
      <c r="B53" s="14" t="s">
        <v>155</v>
      </c>
      <c r="C53" s="3" t="s">
        <v>3</v>
      </c>
      <c r="D53" s="57"/>
      <c r="E53" s="6"/>
    </row>
    <row r="54" spans="1:5" x14ac:dyDescent="0.2">
      <c r="A54" s="24">
        <f t="shared" si="0"/>
        <v>53</v>
      </c>
      <c r="B54" s="14" t="s">
        <v>154</v>
      </c>
      <c r="C54" s="3" t="s">
        <v>3</v>
      </c>
      <c r="D54" s="57"/>
      <c r="E54" s="6"/>
    </row>
    <row r="55" spans="1:5" x14ac:dyDescent="0.2">
      <c r="A55" s="24">
        <f t="shared" si="0"/>
        <v>54</v>
      </c>
      <c r="B55" s="46" t="s">
        <v>161</v>
      </c>
      <c r="C55" s="47" t="s">
        <v>3</v>
      </c>
      <c r="D55" s="57"/>
      <c r="E55" s="6"/>
    </row>
    <row r="56" spans="1:5" x14ac:dyDescent="0.2">
      <c r="A56" s="24">
        <f t="shared" si="0"/>
        <v>55</v>
      </c>
      <c r="B56" s="14" t="s">
        <v>162</v>
      </c>
      <c r="C56" s="3" t="s">
        <v>16</v>
      </c>
      <c r="D56" s="57"/>
      <c r="E56" s="6"/>
    </row>
    <row r="57" spans="1:5" x14ac:dyDescent="0.2">
      <c r="A57" s="24">
        <f t="shared" si="0"/>
        <v>56</v>
      </c>
      <c r="B57" s="14" t="s">
        <v>153</v>
      </c>
      <c r="C57" s="3" t="s">
        <v>16</v>
      </c>
      <c r="D57" s="57"/>
      <c r="E57" s="6"/>
    </row>
    <row r="58" spans="1:5" x14ac:dyDescent="0.2">
      <c r="A58" s="24">
        <f t="shared" si="0"/>
        <v>57</v>
      </c>
      <c r="B58" s="14" t="s">
        <v>152</v>
      </c>
      <c r="C58" s="3" t="s">
        <v>16</v>
      </c>
      <c r="D58" s="57"/>
      <c r="E58" s="6"/>
    </row>
    <row r="59" spans="1:5" x14ac:dyDescent="0.2">
      <c r="A59" s="24">
        <f t="shared" si="0"/>
        <v>58</v>
      </c>
      <c r="B59" s="14" t="s">
        <v>151</v>
      </c>
      <c r="C59" s="3" t="s">
        <v>16</v>
      </c>
      <c r="D59" s="57"/>
      <c r="E59" s="6"/>
    </row>
    <row r="60" spans="1:5" x14ac:dyDescent="0.2">
      <c r="A60" s="24">
        <f t="shared" si="0"/>
        <v>59</v>
      </c>
      <c r="B60" s="14" t="s">
        <v>150</v>
      </c>
      <c r="C60" s="3" t="s">
        <v>16</v>
      </c>
      <c r="D60" s="57"/>
      <c r="E60" s="6"/>
    </row>
    <row r="61" spans="1:5" x14ac:dyDescent="0.2">
      <c r="A61" s="24">
        <f t="shared" si="0"/>
        <v>60</v>
      </c>
      <c r="B61" s="14" t="s">
        <v>160</v>
      </c>
      <c r="C61" s="3" t="s">
        <v>16</v>
      </c>
      <c r="D61" s="57"/>
      <c r="E61" s="6"/>
    </row>
    <row r="62" spans="1:5" x14ac:dyDescent="0.2">
      <c r="A62" s="24">
        <f t="shared" si="0"/>
        <v>61</v>
      </c>
      <c r="B62" s="46" t="s">
        <v>149</v>
      </c>
      <c r="C62" s="47" t="s">
        <v>16</v>
      </c>
      <c r="D62" s="57"/>
      <c r="E62" s="6"/>
    </row>
    <row r="63" spans="1:5" x14ac:dyDescent="0.2">
      <c r="A63" s="24">
        <f t="shared" si="0"/>
        <v>62</v>
      </c>
      <c r="B63" s="14" t="s">
        <v>148</v>
      </c>
      <c r="C63" s="3" t="s">
        <v>7</v>
      </c>
      <c r="D63" s="57"/>
      <c r="E63" s="6"/>
    </row>
    <row r="64" spans="1:5" x14ac:dyDescent="0.2">
      <c r="A64" s="24">
        <f t="shared" si="0"/>
        <v>63</v>
      </c>
      <c r="B64" s="14" t="s">
        <v>147</v>
      </c>
      <c r="C64" s="3" t="s">
        <v>7</v>
      </c>
      <c r="D64" s="57"/>
      <c r="E64" s="6"/>
    </row>
    <row r="65" spans="1:5" x14ac:dyDescent="0.2">
      <c r="A65" s="24">
        <f t="shared" si="0"/>
        <v>64</v>
      </c>
      <c r="B65" s="14" t="s">
        <v>146</v>
      </c>
      <c r="C65" s="3" t="s">
        <v>7</v>
      </c>
      <c r="D65" s="57"/>
      <c r="E65" s="6"/>
    </row>
    <row r="66" spans="1:5" x14ac:dyDescent="0.2">
      <c r="A66" s="24">
        <f t="shared" si="0"/>
        <v>65</v>
      </c>
      <c r="B66" s="14" t="s">
        <v>163</v>
      </c>
      <c r="C66" s="3" t="s">
        <v>9</v>
      </c>
      <c r="D66" s="57"/>
      <c r="E66" s="6"/>
    </row>
    <row r="67" spans="1:5" x14ac:dyDescent="0.2">
      <c r="A67" s="24">
        <f t="shared" si="0"/>
        <v>66</v>
      </c>
      <c r="B67" s="46" t="s">
        <v>145</v>
      </c>
      <c r="C67" s="47" t="s">
        <v>9</v>
      </c>
      <c r="D67" s="57"/>
      <c r="E67" s="6"/>
    </row>
    <row r="68" spans="1:5" x14ac:dyDescent="0.2">
      <c r="A68" s="24">
        <f t="shared" si="0"/>
        <v>67</v>
      </c>
      <c r="B68" s="14" t="s">
        <v>144</v>
      </c>
      <c r="C68" s="3" t="s">
        <v>9</v>
      </c>
      <c r="D68" s="57"/>
      <c r="E68" s="6"/>
    </row>
    <row r="69" spans="1:5" x14ac:dyDescent="0.2">
      <c r="A69" s="24">
        <f t="shared" ref="A69:A103" si="1">A68+1</f>
        <v>68</v>
      </c>
      <c r="B69" s="14" t="s">
        <v>143</v>
      </c>
      <c r="C69" s="3" t="s">
        <v>9</v>
      </c>
      <c r="D69" s="57"/>
      <c r="E69" s="6"/>
    </row>
    <row r="70" spans="1:5" x14ac:dyDescent="0.2">
      <c r="A70" s="24">
        <f t="shared" si="1"/>
        <v>69</v>
      </c>
      <c r="B70" s="46" t="s">
        <v>142</v>
      </c>
      <c r="C70" s="47" t="s">
        <v>9</v>
      </c>
      <c r="D70" s="57"/>
      <c r="E70" s="6"/>
    </row>
    <row r="71" spans="1:5" ht="17" thickBot="1" x14ac:dyDescent="0.25">
      <c r="A71" s="24">
        <f t="shared" si="1"/>
        <v>70</v>
      </c>
      <c r="B71" s="46" t="s">
        <v>141</v>
      </c>
      <c r="C71" s="47" t="s">
        <v>9</v>
      </c>
      <c r="D71" s="58"/>
      <c r="E71" s="6"/>
    </row>
    <row r="72" spans="1:5" x14ac:dyDescent="0.2">
      <c r="A72" s="24">
        <f t="shared" si="1"/>
        <v>71</v>
      </c>
      <c r="B72" s="14" t="s">
        <v>30</v>
      </c>
      <c r="C72" s="3" t="s">
        <v>3</v>
      </c>
      <c r="D72" s="56" t="s">
        <v>107</v>
      </c>
      <c r="E72" s="6"/>
    </row>
    <row r="73" spans="1:5" x14ac:dyDescent="0.2">
      <c r="A73" s="24">
        <f t="shared" si="1"/>
        <v>72</v>
      </c>
      <c r="B73" s="14" t="s">
        <v>31</v>
      </c>
      <c r="C73" s="3" t="s">
        <v>3</v>
      </c>
      <c r="D73" s="57"/>
      <c r="E73" s="8"/>
    </row>
    <row r="74" spans="1:5" x14ac:dyDescent="0.2">
      <c r="A74" s="24">
        <f t="shared" si="1"/>
        <v>73</v>
      </c>
      <c r="B74" s="14" t="s">
        <v>110</v>
      </c>
      <c r="C74" s="3" t="s">
        <v>3</v>
      </c>
      <c r="D74" s="57"/>
      <c r="E74" s="6"/>
    </row>
    <row r="75" spans="1:5" x14ac:dyDescent="0.2">
      <c r="A75" s="24">
        <f t="shared" si="1"/>
        <v>74</v>
      </c>
      <c r="B75" s="14" t="s">
        <v>124</v>
      </c>
      <c r="C75" s="3" t="s">
        <v>3</v>
      </c>
      <c r="D75" s="57"/>
      <c r="E75" s="6"/>
    </row>
    <row r="76" spans="1:5" x14ac:dyDescent="0.2">
      <c r="A76" s="24">
        <f t="shared" si="1"/>
        <v>75</v>
      </c>
      <c r="B76" s="14" t="s">
        <v>109</v>
      </c>
      <c r="C76" s="3" t="s">
        <v>3</v>
      </c>
      <c r="D76" s="57"/>
      <c r="E76" s="6"/>
    </row>
    <row r="77" spans="1:5" x14ac:dyDescent="0.2">
      <c r="A77" s="24">
        <f t="shared" si="1"/>
        <v>76</v>
      </c>
      <c r="B77" s="14" t="s">
        <v>125</v>
      </c>
      <c r="C77" s="3" t="s">
        <v>3</v>
      </c>
      <c r="D77" s="57"/>
      <c r="E77" s="6"/>
    </row>
    <row r="78" spans="1:5" x14ac:dyDescent="0.2">
      <c r="A78" s="24">
        <f t="shared" si="1"/>
        <v>77</v>
      </c>
      <c r="B78" s="3" t="s">
        <v>27</v>
      </c>
      <c r="C78" s="20" t="s">
        <v>7</v>
      </c>
      <c r="D78" s="57" t="s">
        <v>75</v>
      </c>
      <c r="E78" s="6"/>
    </row>
    <row r="79" spans="1:5" x14ac:dyDescent="0.2">
      <c r="A79" s="24">
        <f t="shared" si="1"/>
        <v>78</v>
      </c>
      <c r="B79" s="3" t="s">
        <v>28</v>
      </c>
      <c r="C79" s="20" t="s">
        <v>7</v>
      </c>
      <c r="D79" s="57"/>
      <c r="E79" s="6"/>
    </row>
    <row r="80" spans="1:5" x14ac:dyDescent="0.2">
      <c r="A80" s="24">
        <f t="shared" si="1"/>
        <v>79</v>
      </c>
      <c r="B80" s="3" t="s">
        <v>41</v>
      </c>
      <c r="C80" s="20" t="s">
        <v>7</v>
      </c>
      <c r="D80" s="57"/>
      <c r="E80" s="6"/>
    </row>
    <row r="81" spans="1:5" ht="17" thickBot="1" x14ac:dyDescent="0.25">
      <c r="A81" s="24">
        <f t="shared" si="1"/>
        <v>80</v>
      </c>
      <c r="B81" s="3" t="s">
        <v>78</v>
      </c>
      <c r="C81" s="20" t="s">
        <v>7</v>
      </c>
      <c r="D81" s="57"/>
      <c r="E81" s="6"/>
    </row>
    <row r="82" spans="1:5" x14ac:dyDescent="0.2">
      <c r="A82" s="24">
        <f t="shared" si="1"/>
        <v>81</v>
      </c>
      <c r="B82" s="12" t="s">
        <v>34</v>
      </c>
      <c r="C82" s="15" t="s">
        <v>7</v>
      </c>
      <c r="D82" s="38" t="s">
        <v>74</v>
      </c>
      <c r="E82" s="45" t="s">
        <v>132</v>
      </c>
    </row>
    <row r="83" spans="1:5" ht="17" thickBot="1" x14ac:dyDescent="0.25">
      <c r="A83" s="24">
        <f t="shared" si="1"/>
        <v>82</v>
      </c>
      <c r="B83" s="14" t="s">
        <v>44</v>
      </c>
      <c r="C83" s="20" t="s">
        <v>7</v>
      </c>
      <c r="D83" s="39"/>
      <c r="E83" s="6"/>
    </row>
    <row r="84" spans="1:5" x14ac:dyDescent="0.2">
      <c r="A84" s="24">
        <f t="shared" si="1"/>
        <v>83</v>
      </c>
      <c r="B84" s="14" t="s">
        <v>76</v>
      </c>
      <c r="C84" s="20" t="s">
        <v>16</v>
      </c>
      <c r="D84" s="56" t="s">
        <v>88</v>
      </c>
      <c r="E84" s="6"/>
    </row>
    <row r="85" spans="1:5" x14ac:dyDescent="0.2">
      <c r="A85" s="24">
        <f t="shared" si="1"/>
        <v>84</v>
      </c>
      <c r="B85" s="14" t="s">
        <v>79</v>
      </c>
      <c r="C85" s="20" t="s">
        <v>77</v>
      </c>
      <c r="D85" s="57"/>
      <c r="E85" s="6"/>
    </row>
    <row r="86" spans="1:5" x14ac:dyDescent="0.2">
      <c r="A86" s="24">
        <f t="shared" si="1"/>
        <v>85</v>
      </c>
      <c r="B86" s="14" t="s">
        <v>80</v>
      </c>
      <c r="C86" s="25" t="s">
        <v>81</v>
      </c>
      <c r="D86" s="57"/>
      <c r="E86" s="6"/>
    </row>
    <row r="87" spans="1:5" x14ac:dyDescent="0.2">
      <c r="A87" s="24">
        <f t="shared" si="1"/>
        <v>86</v>
      </c>
      <c r="B87" s="19" t="s">
        <v>83</v>
      </c>
      <c r="C87" s="25" t="s">
        <v>82</v>
      </c>
      <c r="D87" s="57"/>
      <c r="E87" s="6"/>
    </row>
    <row r="88" spans="1:5" x14ac:dyDescent="0.2">
      <c r="A88" s="24">
        <f t="shared" si="1"/>
        <v>87</v>
      </c>
      <c r="B88" s="19" t="s">
        <v>84</v>
      </c>
      <c r="C88" s="25" t="s">
        <v>9</v>
      </c>
      <c r="D88" s="57"/>
      <c r="E88" s="6"/>
    </row>
    <row r="89" spans="1:5" ht="17" thickBot="1" x14ac:dyDescent="0.25">
      <c r="A89" s="24">
        <f t="shared" si="1"/>
        <v>88</v>
      </c>
      <c r="B89" s="19" t="s">
        <v>127</v>
      </c>
      <c r="C89" s="25" t="s">
        <v>9</v>
      </c>
      <c r="D89" s="58"/>
      <c r="E89" s="6"/>
    </row>
    <row r="90" spans="1:5" x14ac:dyDescent="0.2">
      <c r="A90" s="24">
        <f t="shared" si="1"/>
        <v>89</v>
      </c>
      <c r="B90" s="27" t="s">
        <v>86</v>
      </c>
      <c r="C90" s="32" t="s">
        <v>9</v>
      </c>
      <c r="D90" s="56" t="s">
        <v>85</v>
      </c>
      <c r="E90" s="6"/>
    </row>
    <row r="91" spans="1:5" ht="17" thickBot="1" x14ac:dyDescent="0.25">
      <c r="A91" s="24">
        <f t="shared" si="1"/>
        <v>90</v>
      </c>
      <c r="B91" s="26" t="s">
        <v>87</v>
      </c>
      <c r="C91" s="43" t="s">
        <v>9</v>
      </c>
      <c r="D91" s="58"/>
      <c r="E91" s="6"/>
    </row>
    <row r="92" spans="1:5" x14ac:dyDescent="0.2">
      <c r="A92" s="24">
        <f t="shared" si="1"/>
        <v>91</v>
      </c>
      <c r="B92" s="19" t="s">
        <v>89</v>
      </c>
      <c r="C92" s="10" t="s">
        <v>9</v>
      </c>
      <c r="D92" s="57" t="s">
        <v>105</v>
      </c>
    </row>
    <row r="93" spans="1:5" x14ac:dyDescent="0.2">
      <c r="A93" s="24">
        <f t="shared" si="1"/>
        <v>92</v>
      </c>
      <c r="B93" s="19" t="s">
        <v>90</v>
      </c>
      <c r="C93" s="10" t="s">
        <v>91</v>
      </c>
      <c r="D93" s="57"/>
    </row>
    <row r="94" spans="1:5" ht="17" thickBot="1" x14ac:dyDescent="0.25">
      <c r="A94" s="24">
        <f t="shared" si="1"/>
        <v>93</v>
      </c>
      <c r="B94" s="19" t="s">
        <v>92</v>
      </c>
      <c r="C94" s="10" t="s">
        <v>16</v>
      </c>
      <c r="D94" s="58"/>
    </row>
    <row r="95" spans="1:5" x14ac:dyDescent="0.2">
      <c r="A95" s="24">
        <f t="shared" si="1"/>
        <v>94</v>
      </c>
      <c r="B95" s="27" t="s">
        <v>93</v>
      </c>
      <c r="C95" s="18" t="s">
        <v>9</v>
      </c>
      <c r="D95" s="56" t="s">
        <v>106</v>
      </c>
    </row>
    <row r="96" spans="1:5" x14ac:dyDescent="0.2">
      <c r="A96" s="24">
        <f t="shared" si="1"/>
        <v>95</v>
      </c>
      <c r="B96" s="19" t="s">
        <v>103</v>
      </c>
      <c r="C96" s="10" t="s">
        <v>91</v>
      </c>
      <c r="D96" s="57"/>
    </row>
    <row r="97" spans="1:10" ht="17" thickBot="1" x14ac:dyDescent="0.25">
      <c r="A97" s="24">
        <f t="shared" si="1"/>
        <v>96</v>
      </c>
      <c r="B97" s="26" t="s">
        <v>94</v>
      </c>
      <c r="C97" s="17" t="s">
        <v>16</v>
      </c>
      <c r="D97" s="58"/>
    </row>
    <row r="98" spans="1:10" ht="17" thickBot="1" x14ac:dyDescent="0.25">
      <c r="A98" s="24">
        <f t="shared" si="1"/>
        <v>97</v>
      </c>
      <c r="B98" s="49" t="s">
        <v>101</v>
      </c>
      <c r="C98" s="49" t="s">
        <v>24</v>
      </c>
      <c r="D98" s="34" t="s">
        <v>57</v>
      </c>
      <c r="E98" s="6"/>
    </row>
    <row r="99" spans="1:10" ht="17" customHeight="1" thickBot="1" x14ac:dyDescent="0.25">
      <c r="A99" s="24">
        <f t="shared" si="1"/>
        <v>98</v>
      </c>
      <c r="B99" s="50" t="s">
        <v>170</v>
      </c>
      <c r="C99" s="51" t="s">
        <v>16</v>
      </c>
      <c r="D99" s="55" t="s">
        <v>169</v>
      </c>
      <c r="E99" s="53" t="s">
        <v>189</v>
      </c>
      <c r="F99" s="54"/>
      <c r="G99" s="54"/>
      <c r="H99" s="54"/>
      <c r="I99" s="54"/>
      <c r="J99" s="54"/>
    </row>
    <row r="100" spans="1:10" ht="17" thickBot="1" x14ac:dyDescent="0.25">
      <c r="A100" s="24">
        <f t="shared" si="1"/>
        <v>99</v>
      </c>
      <c r="B100" s="50" t="s">
        <v>179</v>
      </c>
      <c r="C100" s="51" t="s">
        <v>13</v>
      </c>
      <c r="D100" s="55"/>
      <c r="E100" s="53"/>
      <c r="F100" s="54"/>
      <c r="G100" s="54"/>
      <c r="H100" s="54"/>
      <c r="I100" s="54"/>
      <c r="J100" s="54"/>
    </row>
    <row r="101" spans="1:10" ht="17" thickBot="1" x14ac:dyDescent="0.25">
      <c r="A101" s="24">
        <f t="shared" si="1"/>
        <v>100</v>
      </c>
      <c r="B101" s="50" t="s">
        <v>188</v>
      </c>
      <c r="C101" s="51" t="s">
        <v>16</v>
      </c>
      <c r="D101" s="55"/>
      <c r="E101" s="53"/>
      <c r="F101" s="54"/>
      <c r="G101" s="54"/>
      <c r="H101" s="54"/>
      <c r="I101" s="54"/>
      <c r="J101" s="54"/>
    </row>
    <row r="102" spans="1:10" x14ac:dyDescent="0.2">
      <c r="A102" s="24">
        <f t="shared" si="1"/>
        <v>101</v>
      </c>
      <c r="B102" s="12" t="s">
        <v>52</v>
      </c>
      <c r="C102" s="15" t="s">
        <v>10</v>
      </c>
      <c r="D102" s="56" t="s">
        <v>58</v>
      </c>
    </row>
    <row r="103" spans="1:10" x14ac:dyDescent="0.2">
      <c r="A103" s="24">
        <f t="shared" si="1"/>
        <v>102</v>
      </c>
      <c r="B103" s="14" t="s">
        <v>59</v>
      </c>
      <c r="C103" s="20" t="s">
        <v>10</v>
      </c>
      <c r="D103" s="57"/>
    </row>
  </sheetData>
  <mergeCells count="13">
    <mergeCell ref="E99:J101"/>
    <mergeCell ref="D99:D101"/>
    <mergeCell ref="D102:D103"/>
    <mergeCell ref="D6:D20"/>
    <mergeCell ref="D92:D94"/>
    <mergeCell ref="D95:D97"/>
    <mergeCell ref="D90:D91"/>
    <mergeCell ref="D21:D30"/>
    <mergeCell ref="D72:D77"/>
    <mergeCell ref="D78:D81"/>
    <mergeCell ref="D84:D89"/>
    <mergeCell ref="D38:D51"/>
    <mergeCell ref="D52:D71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30"/>
  <sheetViews>
    <sheetView tabSelected="1" topLeftCell="A8" zoomScale="225" workbookViewId="0">
      <selection activeCell="B14" sqref="B14"/>
    </sheetView>
  </sheetViews>
  <sheetFormatPr baseColWidth="10" defaultColWidth="3.33203125" defaultRowHeight="16" x14ac:dyDescent="0.2"/>
  <cols>
    <col min="1" max="1" width="7.33203125" bestFit="1" customWidth="1"/>
    <col min="2" max="2" width="26" bestFit="1" customWidth="1"/>
    <col min="3" max="3" width="14.5" bestFit="1" customWidth="1"/>
    <col min="4" max="4" width="13.33203125" bestFit="1" customWidth="1"/>
  </cols>
  <sheetData>
    <row r="1" spans="1:4" x14ac:dyDescent="0.2">
      <c r="A1" s="21" t="s">
        <v>0</v>
      </c>
      <c r="B1" s="21" t="s">
        <v>1</v>
      </c>
      <c r="C1" s="21" t="s">
        <v>2</v>
      </c>
      <c r="D1" s="21" t="s">
        <v>19</v>
      </c>
    </row>
    <row r="2" spans="1:4" x14ac:dyDescent="0.2">
      <c r="A2" s="1">
        <f>COUNT(LvM!A1:A190) + 1</f>
        <v>103</v>
      </c>
      <c r="B2" s="1" t="s">
        <v>139</v>
      </c>
      <c r="C2" s="1" t="s">
        <v>15</v>
      </c>
      <c r="D2" s="1" t="s">
        <v>20</v>
      </c>
    </row>
    <row r="3" spans="1:4" x14ac:dyDescent="0.2">
      <c r="A3" s="3">
        <f>A2</f>
        <v>103</v>
      </c>
      <c r="B3" s="11" t="s">
        <v>60</v>
      </c>
      <c r="C3" s="3" t="s">
        <v>3</v>
      </c>
      <c r="D3" s="3" t="s">
        <v>21</v>
      </c>
    </row>
    <row r="4" spans="1:4" x14ac:dyDescent="0.2">
      <c r="A4" s="3">
        <f t="shared" ref="A4:A30" si="0">A3</f>
        <v>103</v>
      </c>
      <c r="B4" s="11" t="s">
        <v>61</v>
      </c>
      <c r="C4" s="3" t="s">
        <v>3</v>
      </c>
      <c r="D4" s="3" t="s">
        <v>22</v>
      </c>
    </row>
    <row r="5" spans="1:4" x14ac:dyDescent="0.2">
      <c r="A5" s="3">
        <f t="shared" si="0"/>
        <v>103</v>
      </c>
      <c r="B5" s="11" t="s">
        <v>62</v>
      </c>
      <c r="C5" s="3" t="s">
        <v>3</v>
      </c>
      <c r="D5" s="3" t="s">
        <v>32</v>
      </c>
    </row>
    <row r="6" spans="1:4" x14ac:dyDescent="0.2">
      <c r="A6" s="3">
        <f t="shared" si="0"/>
        <v>103</v>
      </c>
      <c r="B6" s="11" t="s">
        <v>63</v>
      </c>
      <c r="C6" s="3" t="s">
        <v>7</v>
      </c>
      <c r="D6" s="3" t="s">
        <v>23</v>
      </c>
    </row>
    <row r="7" spans="1:4" x14ac:dyDescent="0.2">
      <c r="A7" s="3">
        <f t="shared" si="0"/>
        <v>103</v>
      </c>
      <c r="B7" s="7" t="s">
        <v>71</v>
      </c>
      <c r="C7" s="3" t="s">
        <v>16</v>
      </c>
      <c r="D7" s="3" t="s">
        <v>72</v>
      </c>
    </row>
    <row r="8" spans="1:4" ht="17" thickBot="1" x14ac:dyDescent="0.25">
      <c r="A8" s="3">
        <f t="shared" si="0"/>
        <v>103</v>
      </c>
      <c r="B8" s="48" t="s">
        <v>138</v>
      </c>
      <c r="C8" s="4" t="s">
        <v>7</v>
      </c>
      <c r="D8" s="4" t="s">
        <v>95</v>
      </c>
    </row>
    <row r="9" spans="1:4" x14ac:dyDescent="0.2">
      <c r="A9" s="3">
        <f t="shared" si="0"/>
        <v>103</v>
      </c>
      <c r="B9" s="7" t="s">
        <v>180</v>
      </c>
      <c r="C9" s="1" t="s">
        <v>16</v>
      </c>
      <c r="D9" s="1" t="s">
        <v>157</v>
      </c>
    </row>
    <row r="10" spans="1:4" x14ac:dyDescent="0.2">
      <c r="A10" s="3">
        <f t="shared" si="0"/>
        <v>103</v>
      </c>
      <c r="B10" s="7" t="s">
        <v>181</v>
      </c>
      <c r="C10" s="1" t="s">
        <v>16</v>
      </c>
      <c r="D10" s="1" t="s">
        <v>158</v>
      </c>
    </row>
    <row r="11" spans="1:4" x14ac:dyDescent="0.2">
      <c r="A11" s="3">
        <f t="shared" si="0"/>
        <v>103</v>
      </c>
      <c r="B11" s="7" t="s">
        <v>182</v>
      </c>
      <c r="C11" s="1" t="s">
        <v>16</v>
      </c>
      <c r="D11" s="1" t="s">
        <v>159</v>
      </c>
    </row>
    <row r="12" spans="1:4" x14ac:dyDescent="0.2">
      <c r="A12" s="3">
        <f t="shared" si="0"/>
        <v>103</v>
      </c>
      <c r="B12" s="7" t="s">
        <v>183</v>
      </c>
      <c r="C12" s="1" t="s">
        <v>16</v>
      </c>
      <c r="D12" s="1" t="s">
        <v>164</v>
      </c>
    </row>
    <row r="13" spans="1:4" x14ac:dyDescent="0.2">
      <c r="A13" s="3">
        <f t="shared" si="0"/>
        <v>103</v>
      </c>
      <c r="B13" s="7" t="s">
        <v>184</v>
      </c>
      <c r="C13" s="1" t="s">
        <v>16</v>
      </c>
      <c r="D13" s="1" t="s">
        <v>165</v>
      </c>
    </row>
    <row r="14" spans="1:4" x14ac:dyDescent="0.2">
      <c r="A14" s="3">
        <f t="shared" si="0"/>
        <v>103</v>
      </c>
      <c r="B14" s="7" t="s">
        <v>185</v>
      </c>
      <c r="C14" s="1" t="s">
        <v>16</v>
      </c>
      <c r="D14" s="1" t="s">
        <v>166</v>
      </c>
    </row>
    <row r="15" spans="1:4" x14ac:dyDescent="0.2">
      <c r="A15" s="3">
        <f t="shared" si="0"/>
        <v>103</v>
      </c>
      <c r="B15" s="7" t="s">
        <v>186</v>
      </c>
      <c r="C15" s="1" t="s">
        <v>16</v>
      </c>
      <c r="D15" s="1" t="s">
        <v>167</v>
      </c>
    </row>
    <row r="16" spans="1:4" ht="17" thickBot="1" x14ac:dyDescent="0.25">
      <c r="A16" s="3">
        <f t="shared" si="0"/>
        <v>103</v>
      </c>
      <c r="B16" s="48" t="s">
        <v>187</v>
      </c>
      <c r="C16" s="52" t="s">
        <v>16</v>
      </c>
      <c r="D16" s="52" t="s">
        <v>168</v>
      </c>
    </row>
    <row r="17" spans="1:4" x14ac:dyDescent="0.2">
      <c r="A17" s="3">
        <f t="shared" si="0"/>
        <v>103</v>
      </c>
      <c r="B17" s="7" t="s">
        <v>175</v>
      </c>
      <c r="C17" s="1" t="s">
        <v>16</v>
      </c>
      <c r="D17" s="1" t="s">
        <v>171</v>
      </c>
    </row>
    <row r="18" spans="1:4" x14ac:dyDescent="0.2">
      <c r="A18" s="3">
        <f t="shared" si="0"/>
        <v>103</v>
      </c>
      <c r="B18" s="7" t="s">
        <v>176</v>
      </c>
      <c r="C18" s="1" t="s">
        <v>16</v>
      </c>
      <c r="D18" s="1" t="s">
        <v>172</v>
      </c>
    </row>
    <row r="19" spans="1:4" x14ac:dyDescent="0.2">
      <c r="A19" s="3">
        <f t="shared" si="0"/>
        <v>103</v>
      </c>
      <c r="B19" s="7" t="s">
        <v>177</v>
      </c>
      <c r="C19" s="1" t="s">
        <v>16</v>
      </c>
      <c r="D19" s="1" t="s">
        <v>173</v>
      </c>
    </row>
    <row r="20" spans="1:4" x14ac:dyDescent="0.2">
      <c r="A20" s="3">
        <f t="shared" si="0"/>
        <v>103</v>
      </c>
      <c r="B20" s="65" t="s">
        <v>178</v>
      </c>
      <c r="C20" s="66" t="s">
        <v>16</v>
      </c>
      <c r="D20" s="66" t="s">
        <v>174</v>
      </c>
    </row>
    <row r="21" spans="1:4" x14ac:dyDescent="0.2">
      <c r="A21" s="3">
        <f t="shared" si="0"/>
        <v>103</v>
      </c>
      <c r="B21" s="7" t="s">
        <v>191</v>
      </c>
      <c r="C21" s="1" t="s">
        <v>16</v>
      </c>
      <c r="D21" s="1" t="s">
        <v>190</v>
      </c>
    </row>
    <row r="22" spans="1:4" x14ac:dyDescent="0.2">
      <c r="A22" s="3">
        <f t="shared" si="0"/>
        <v>103</v>
      </c>
      <c r="B22" s="7" t="s">
        <v>192</v>
      </c>
      <c r="C22" s="1" t="s">
        <v>16</v>
      </c>
      <c r="D22" s="1" t="s">
        <v>201</v>
      </c>
    </row>
    <row r="23" spans="1:4" x14ac:dyDescent="0.2">
      <c r="A23" s="3">
        <f t="shared" si="0"/>
        <v>103</v>
      </c>
      <c r="B23" s="7" t="s">
        <v>193</v>
      </c>
      <c r="C23" s="1" t="s">
        <v>16</v>
      </c>
      <c r="D23" s="1" t="s">
        <v>202</v>
      </c>
    </row>
    <row r="24" spans="1:4" x14ac:dyDescent="0.2">
      <c r="A24" s="3">
        <f t="shared" si="0"/>
        <v>103</v>
      </c>
      <c r="B24" s="7" t="s">
        <v>194</v>
      </c>
      <c r="C24" s="1" t="s">
        <v>16</v>
      </c>
      <c r="D24" s="1" t="s">
        <v>203</v>
      </c>
    </row>
    <row r="25" spans="1:4" x14ac:dyDescent="0.2">
      <c r="A25" s="3">
        <f t="shared" si="0"/>
        <v>103</v>
      </c>
      <c r="B25" s="7" t="s">
        <v>195</v>
      </c>
      <c r="C25" s="1" t="s">
        <v>16</v>
      </c>
      <c r="D25" s="1" t="s">
        <v>204</v>
      </c>
    </row>
    <row r="26" spans="1:4" x14ac:dyDescent="0.2">
      <c r="A26" s="3">
        <f t="shared" si="0"/>
        <v>103</v>
      </c>
      <c r="B26" s="7" t="s">
        <v>196</v>
      </c>
      <c r="C26" s="1" t="s">
        <v>16</v>
      </c>
      <c r="D26" s="1" t="s">
        <v>205</v>
      </c>
    </row>
    <row r="27" spans="1:4" x14ac:dyDescent="0.2">
      <c r="A27" s="3">
        <f t="shared" si="0"/>
        <v>103</v>
      </c>
      <c r="B27" s="7" t="s">
        <v>197</v>
      </c>
      <c r="C27" s="1" t="s">
        <v>16</v>
      </c>
      <c r="D27" s="1" t="s">
        <v>206</v>
      </c>
    </row>
    <row r="28" spans="1:4" x14ac:dyDescent="0.2">
      <c r="A28" s="3">
        <f t="shared" si="0"/>
        <v>103</v>
      </c>
      <c r="B28" s="7" t="s">
        <v>198</v>
      </c>
      <c r="C28" s="1" t="s">
        <v>16</v>
      </c>
      <c r="D28" s="1" t="s">
        <v>207</v>
      </c>
    </row>
    <row r="29" spans="1:4" x14ac:dyDescent="0.2">
      <c r="A29" s="3">
        <f t="shared" si="0"/>
        <v>103</v>
      </c>
      <c r="B29" s="7" t="s">
        <v>199</v>
      </c>
      <c r="C29" s="1" t="s">
        <v>16</v>
      </c>
      <c r="D29" s="1" t="s">
        <v>208</v>
      </c>
    </row>
    <row r="30" spans="1:4" x14ac:dyDescent="0.2">
      <c r="A30" s="3">
        <f t="shared" si="0"/>
        <v>103</v>
      </c>
      <c r="B30" s="7" t="s">
        <v>200</v>
      </c>
      <c r="C30" s="1" t="s">
        <v>16</v>
      </c>
      <c r="D30" s="1" t="s">
        <v>209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2024-09-21T18:50:52Z</dcterms:created>
  <dcterms:modified xsi:type="dcterms:W3CDTF">2026-05-06T16:57:40Z</dcterms:modified>
</cp:coreProperties>
</file>